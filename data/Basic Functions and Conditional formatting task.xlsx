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Assignments\data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1" l="1"/>
  <c r="I5" i="1"/>
  <c r="S17" i="1"/>
  <c r="O20" i="1" l="1"/>
  <c r="O19" i="1"/>
  <c r="O18" i="1"/>
  <c r="O17" i="1"/>
  <c r="O16" i="1"/>
  <c r="N20" i="1"/>
  <c r="N19" i="1"/>
  <c r="N18" i="1"/>
  <c r="N17" i="1"/>
  <c r="N16" i="1"/>
  <c r="K9" i="1"/>
  <c r="J9" i="1"/>
  <c r="I9" i="1"/>
  <c r="K8" i="1"/>
  <c r="J8" i="1"/>
  <c r="I8" i="1"/>
  <c r="K7" i="1"/>
  <c r="J7" i="1"/>
  <c r="I7" i="1"/>
  <c r="J6" i="1"/>
  <c r="K6" i="1"/>
  <c r="I6" i="1"/>
  <c r="K5" i="1"/>
  <c r="J5" i="1"/>
  <c r="U21" i="1"/>
  <c r="T21" i="1"/>
  <c r="S21" i="1"/>
  <c r="U20" i="1"/>
  <c r="T20" i="1"/>
  <c r="U19" i="1"/>
  <c r="S20" i="1"/>
  <c r="T19" i="1"/>
  <c r="S19" i="1"/>
  <c r="U18" i="1"/>
  <c r="T18" i="1"/>
  <c r="U17" i="1"/>
  <c r="T17" i="1"/>
  <c r="P8" i="1"/>
  <c r="P7" i="1"/>
  <c r="P6" i="1"/>
  <c r="P5" i="1"/>
  <c r="P4" i="1"/>
  <c r="J21" i="1"/>
  <c r="J20" i="1"/>
  <c r="J19" i="1"/>
  <c r="J18" i="1"/>
  <c r="J17" i="1"/>
  <c r="J16" i="1"/>
  <c r="I21" i="1"/>
  <c r="I20" i="1"/>
  <c r="I19" i="1"/>
  <c r="I18" i="1"/>
  <c r="I17" i="1"/>
  <c r="I16" i="1"/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<sst xmlns="http://schemas.openxmlformats.org/spreadsheetml/2006/main" count="71" uniqueCount="25">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</sst>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topLeftCell="E1" workbookViewId="0">
      <selection activeCell="O16" sqref="O16"/>
    </sheetView>
  </sheetViews>
  <sheetFormatPr defaultRowHeight="15" x14ac:dyDescent="0.25"/>
  <cols>
    <col min="2" max="2" width="9.140625" bestFit="1" customWidth="1"/>
    <col min="4" max="4" width="12.85546875" bestFit="1" customWidth="1"/>
    <col min="5" max="5" width="17.5703125" bestFit="1" customWidth="1"/>
    <col min="6" max="6" width="10.42578125" bestFit="1" customWidth="1"/>
    <col min="8" max="8" width="10.42578125" bestFit="1" customWidth="1"/>
    <col min="9" max="11" width="10.5703125" bestFit="1" customWidth="1"/>
    <col min="15" max="15" width="10.42578125" customWidth="1"/>
    <col min="16" max="16" width="8.7109375" bestFit="1" customWidth="1"/>
  </cols>
  <sheetData>
    <row r="1" spans="1:21" ht="25.5" x14ac:dyDescent="0.35">
      <c r="A1" s="30" t="s">
        <v>0</v>
      </c>
      <c r="B1" s="30"/>
      <c r="C1" s="30"/>
      <c r="D1" s="30"/>
      <c r="E1" s="30"/>
      <c r="F1" s="30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4" t="s">
        <v>12</v>
      </c>
      <c r="O4" s="13" t="s">
        <v>13</v>
      </c>
      <c r="P4" s="14">
        <f>COUNTIF($D$3:$E$26,$D5)</f>
        <v>6</v>
      </c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SUMIFS($F$3:$F$26, $D$3:$D$26, D5, $C$3:$C$26, C3)</f>
        <v>12320</v>
      </c>
      <c r="J5" s="25">
        <f>SUMIFS($F$3:$F$26, $D$3:$D$26, D5, $C$3:$C$26, C12 )</f>
        <v>23100</v>
      </c>
      <c r="K5" s="25">
        <f>SUMIFS($F$3:$F$26, $D$3:$D$26, D5, $C$3:$C$26, C18)</f>
        <v>25520</v>
      </c>
      <c r="N5" s="35"/>
      <c r="O5" s="13" t="s">
        <v>7</v>
      </c>
      <c r="P5" s="14">
        <f>COUNTIF($D$3:$E$26,$D3)</f>
        <v>3</v>
      </c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SUMIFS($F$3:$F$26, $D$3:$D$26, D3, $C$3:$C$26, C3)</f>
        <v>16720</v>
      </c>
      <c r="J6" s="25">
        <f>SUMIFS($F$3:$F$26, $D$3:$D$26, D3, $C$3:$C$26, C12)</f>
        <v>6160</v>
      </c>
      <c r="K6" s="25">
        <f>SUMIFS($F$3:$F$26, $D$3:$D$26, D3, $C$3:$C$26, C18)</f>
        <v>7920</v>
      </c>
      <c r="N6" s="35"/>
      <c r="O6" s="13" t="s">
        <v>15</v>
      </c>
      <c r="P6" s="14">
        <f>COUNTIF($D$3:$E$26,$D6)</f>
        <v>5</v>
      </c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SUMIFS($F$3:$F$26, $D$3:$D$26, D6, $C$3:$C$26, C3)</f>
        <v>26840</v>
      </c>
      <c r="J7" s="25">
        <f>SUMIFS($F$3:$F$26, $D$3:$D$26, D6, $C$3:$C$26, C12)</f>
        <v>0</v>
      </c>
      <c r="K7" s="25">
        <f>SUMIFS($F$3:$F$26, $D$3:$D$26, D6, $C$3:$C$26, C18)</f>
        <v>15840</v>
      </c>
      <c r="N7" s="35"/>
      <c r="O7" s="13" t="s">
        <v>18</v>
      </c>
      <c r="P7" s="14">
        <f>COUNTIF($D$3:$E$26,$D8)</f>
        <v>3</v>
      </c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SUMIFS($F$3:$F$26, $D$3:$D$26, D8, $C$3:$C$26, C3)</f>
        <v>19800</v>
      </c>
      <c r="J8" s="25">
        <f>SUMIFS($F$3:$F$26, $D$3:$D$26, D8, $C$3:$C$26, C12)</f>
        <v>20900</v>
      </c>
      <c r="K8" s="25">
        <f>SUMIFS($F$3:$F$26, $D$3:$D$26, D8, $C$3:$C$26, C18)</f>
        <v>11440</v>
      </c>
      <c r="N8" s="36"/>
      <c r="O8" s="17" t="s">
        <v>11</v>
      </c>
      <c r="P8" s="14">
        <f>COUNTIF($D$3:$E$26,$D7)</f>
        <v>7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>SUMIFS($F$3:$F$26, $D$3:$D$26, D7, $C$3:$C$26, C3)</f>
        <v>29040</v>
      </c>
      <c r="J9" s="25">
        <f>SUMIFS($F$3:$F$26, $D$3:$D$26, D7, $C$3:$C$26, C12)</f>
        <v>33440</v>
      </c>
      <c r="K9" s="25">
        <f>SUMIFS($F$3:$F$26, $D$3:$D$26, D7, $C$3:$C$26, C18)</f>
        <v>20240</v>
      </c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1" t="s">
        <v>8</v>
      </c>
      <c r="I14" s="32"/>
      <c r="J14" s="33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4" t="s">
        <v>23</v>
      </c>
      <c r="M16" s="13" t="s">
        <v>13</v>
      </c>
      <c r="N16" s="13">
        <f>SUMIF($D$3:$D$26, D5, $E$3:$E$26)</f>
        <v>277</v>
      </c>
      <c r="O16" s="13">
        <f>SUMIF($D$3:$D$26, D5, $F$3:$F$26)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5"/>
      <c r="M17" s="13" t="s">
        <v>7</v>
      </c>
      <c r="N17" s="13">
        <f>SUMIF($D$3:$D$26, D3, $E$3:$E$26)</f>
        <v>140</v>
      </c>
      <c r="O17" s="13">
        <f>SUMIF($D$3:$D$26, D3, $F$3:$F$26)</f>
        <v>30800</v>
      </c>
      <c r="R17" s="24" t="s">
        <v>13</v>
      </c>
      <c r="S17" s="25">
        <f>SUMIFS($E$3:$E$26, $D$3:$D$26, D5, $C$3:$C$26, C3)</f>
        <v>56</v>
      </c>
      <c r="T17" s="25">
        <f>SUMIFS($E$3:$E$26, $D$3:$D$26, D5, $C$3:$C$26, C12 )</f>
        <v>105</v>
      </c>
      <c r="U17" s="25">
        <f>SUMIFS($E$3:$E$26, $D$3:$D$26, D5, $C$3:$C$26, C18 )</f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5"/>
      <c r="M18" s="13" t="s">
        <v>15</v>
      </c>
      <c r="N18" s="13">
        <f>SUMIF($D$3:$D$26, D6, $E$3:$E$26)</f>
        <v>194</v>
      </c>
      <c r="O18" s="13">
        <f>SUMIF($D$3:$D$26, D6, $F$3:$F$26)</f>
        <v>42680</v>
      </c>
      <c r="R18" s="24" t="s">
        <v>7</v>
      </c>
      <c r="S18" s="25">
        <f>SUMIFS($E$3:$E$26, $D$3:$D$26, D3, $C$3:$C$26, C3)</f>
        <v>76</v>
      </c>
      <c r="T18" s="25">
        <f>SUMIFS($E$3:$E$26, $D$3:$D$26, D3, $C$3:$C$26, C12 )</f>
        <v>28</v>
      </c>
      <c r="U18" s="25">
        <f>SUMIFS($E$3:$E$26, $D$3:$D$26, D3, $C$3:$C$26, C18 )</f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5"/>
      <c r="M19" s="13" t="s">
        <v>18</v>
      </c>
      <c r="N19" s="13">
        <f>SUMIF($D$3:$D$26, D8, $E$3:$E$26)</f>
        <v>237</v>
      </c>
      <c r="O19" s="13">
        <f>SUMIF($D$3:$D$26, D8, $F$3:$F$26)</f>
        <v>52140</v>
      </c>
      <c r="R19" s="24" t="s">
        <v>15</v>
      </c>
      <c r="S19" s="25">
        <f>SUMIFS($E$3:$E$26, $D$3:$D$26, D6, $C$3:$C$26, C5 )</f>
        <v>122</v>
      </c>
      <c r="T19" s="25">
        <f>SUMIFS($E$3:$E$26, $D$3:$D$26, D6, $C$3:$C$26, C12)</f>
        <v>0</v>
      </c>
      <c r="U19" s="25">
        <f>SUMIFS($E$3:$E$26, $D$3:$D$26, D6, $C$3:$C$26, C18)</f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6"/>
      <c r="M20" s="17" t="s">
        <v>11</v>
      </c>
      <c r="N20" s="13">
        <f>SUMIF($D$3:$D$26, D7, $E$3:$E$26)</f>
        <v>376</v>
      </c>
      <c r="O20" s="13">
        <f>SUMIF($D$3:$D$26, D7, $F$3:$F$26)</f>
        <v>82720</v>
      </c>
      <c r="R20" s="24" t="s">
        <v>18</v>
      </c>
      <c r="S20" s="25">
        <f t="shared" ref="S20" si="1">SUMIFS($E$3:$E$26, $D$3:$D$26, D8, $C$3:$C$26, C6 )</f>
        <v>90</v>
      </c>
      <c r="T20" s="25">
        <f>SUMIFS($E$3:$E$26, $D$3:$D$26, D8, $C$3:$C$26, C12 )</f>
        <v>95</v>
      </c>
      <c r="U20" s="25">
        <f>SUMIFS($E$3:$E$26, $D$3:$D$26, D8, $C$3:$C$26, C18 )</f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>SUMIFS($E$3:$E$26, $D$3:$D$26, D7, $C$3:$C$26, C7 )</f>
        <v>132</v>
      </c>
      <c r="T21" s="25">
        <f>SUMIFS($E$3:$E$26, $D$3:$D$26, D7, $C$3:$C$26, C12 )</f>
        <v>152</v>
      </c>
      <c r="U21" s="25">
        <f>SUMIFS($E$3:$E$26, $D$3:$D$26, D7, $C$3:$C$26, C18 )</f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L16:L20"/>
    <mergeCell ref="I3:K3"/>
    <mergeCell ref="A1:F1"/>
    <mergeCell ref="H14:J14"/>
    <mergeCell ref="N4:N8"/>
    <mergeCell ref="S15:U15"/>
  </mergeCells>
  <conditionalFormatting sqref="F1:F1048576">
    <cfRule type="cellIs" dxfId="0" priority="2" operator="greaterThan">
      <formula>15000</formula>
    </cfRule>
    <cfRule type="cellIs" dxfId="1" priority="1" operator="lessThan">
      <formula>15000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DELL</cp:lastModifiedBy>
  <dcterms:created xsi:type="dcterms:W3CDTF">2024-05-08T21:08:42Z</dcterms:created>
  <dcterms:modified xsi:type="dcterms:W3CDTF">2026-05-02T10:17:41Z</dcterms:modified>
</cp:coreProperties>
</file>